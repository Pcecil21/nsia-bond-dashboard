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udit Folders\North Shore Ice Arena\6-30-2025\Financial Statements\"/>
    </mc:Choice>
  </mc:AlternateContent>
  <xr:revisionPtr revIDLastSave="0" documentId="8_{9A935C0B-4648-40A1-8A01-08E4E23AD425}" xr6:coauthVersionLast="47" xr6:coauthVersionMax="47" xr10:uidLastSave="{00000000-0000-0000-0000-000000000000}"/>
  <bookViews>
    <workbookView xWindow="28680" yWindow="-1665" windowWidth="29040" windowHeight="15720" xr2:uid="{55ABF409-E87E-432C-86C0-3C83794E0CB2}"/>
  </bookViews>
  <sheets>
    <sheet name="Proposed Ent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" i="1" l="1"/>
  <c r="J78" i="1"/>
  <c r="J74" i="1"/>
  <c r="J70" i="1"/>
  <c r="L63" i="1"/>
  <c r="L57" i="1"/>
  <c r="L56" i="1"/>
  <c r="J55" i="1"/>
  <c r="J49" i="1"/>
  <c r="L15" i="1"/>
</calcChain>
</file>

<file path=xl/sharedStrings.xml><?xml version="1.0" encoding="utf-8"?>
<sst xmlns="http://schemas.openxmlformats.org/spreadsheetml/2006/main" count="163" uniqueCount="89">
  <si>
    <t>Num</t>
  </si>
  <si>
    <t>Date</t>
  </si>
  <si>
    <t>Memo</t>
  </si>
  <si>
    <t>Account</t>
  </si>
  <si>
    <t>Debit</t>
  </si>
  <si>
    <t>Credit</t>
  </si>
  <si>
    <t>MV2025-1</t>
  </si>
  <si>
    <t>Reverse prior year entry</t>
  </si>
  <si>
    <t>21590 Accrued Expenses</t>
  </si>
  <si>
    <t>11000 Accounts Receivable</t>
  </si>
  <si>
    <t>20000 Operations Payroll</t>
  </si>
  <si>
    <t>65120 Insurance - Liab, Prop, D &amp; O</t>
  </si>
  <si>
    <t>61405 Propane</t>
  </si>
  <si>
    <t>61404 Trash Removal</t>
  </si>
  <si>
    <t>61377 Auditor/Outside Consultants</t>
  </si>
  <si>
    <t>61412 Landscaping</t>
  </si>
  <si>
    <t>12000 Undeposited Funds</t>
  </si>
  <si>
    <t>MV2025-2</t>
  </si>
  <si>
    <t>Adjust lease liability</t>
  </si>
  <si>
    <t>lease liability</t>
  </si>
  <si>
    <t>60200 Land Lease</t>
  </si>
  <si>
    <t>MV2025-3</t>
  </si>
  <si>
    <t>Amortize Right of Use asset</t>
  </si>
  <si>
    <t>72005 Amortization Expense</t>
  </si>
  <si>
    <t>right of use asset</t>
  </si>
  <si>
    <t>MV2025-4</t>
  </si>
  <si>
    <t>Reclassify scrubber lease payments</t>
  </si>
  <si>
    <t>Ascentium Capital</t>
  </si>
  <si>
    <t>61406 Scrubber Lease</t>
  </si>
  <si>
    <t>MV2025-5</t>
  </si>
  <si>
    <t>Adjust accrued interest</t>
  </si>
  <si>
    <t>21560 Accrued Interest Payable</t>
  </si>
  <si>
    <t>71115 Interest Expense</t>
  </si>
  <si>
    <t>MV2025-6</t>
  </si>
  <si>
    <t>Adjust current portion of bond payable</t>
  </si>
  <si>
    <t>25000 Bonds Payable</t>
  </si>
  <si>
    <t>21550 Current Maturities of Bonds Pay</t>
  </si>
  <si>
    <t>MV2025-7</t>
  </si>
  <si>
    <t>Amortize bond acquisition discount</t>
  </si>
  <si>
    <t>73000 Interest Debt Cost</t>
  </si>
  <si>
    <t>12840 Accumulated Amortization</t>
  </si>
  <si>
    <t>MV2025-8</t>
  </si>
  <si>
    <t>Adjust accrued real estate taxes</t>
  </si>
  <si>
    <t>60210 Property Taxes</t>
  </si>
  <si>
    <t>21500 Accrued Real Estate Taxes</t>
  </si>
  <si>
    <t>MV2025-9</t>
  </si>
  <si>
    <t>Capitalize fixed asset additions</t>
  </si>
  <si>
    <t>13050 Improvements</t>
  </si>
  <si>
    <t>13030 Furniture and Fixtures</t>
  </si>
  <si>
    <t>61425 Capital Expenditures</t>
  </si>
  <si>
    <t>61460 Building Maintenance</t>
  </si>
  <si>
    <t>MV2025-10</t>
  </si>
  <si>
    <t>Remove old fixed assets</t>
  </si>
  <si>
    <t>13510 A/D - Equipment</t>
  </si>
  <si>
    <t>13530 A/D - Furniture and Fixtures</t>
  </si>
  <si>
    <t>13540 A/D - Building</t>
  </si>
  <si>
    <t>13550 A/D - Improvements</t>
  </si>
  <si>
    <t>Gain/Loss on Asset Disposals (New Other Income Acct.)</t>
  </si>
  <si>
    <t>13010 Equipment</t>
  </si>
  <si>
    <t>13040 Building</t>
  </si>
  <si>
    <t>MV2025-11</t>
  </si>
  <si>
    <t>Record current year depreciation</t>
  </si>
  <si>
    <t>62820 Depreciation Expense</t>
  </si>
  <si>
    <t>MV2025-12</t>
  </si>
  <si>
    <t>Reclass contributions from clubs</t>
  </si>
  <si>
    <t>25150 Winnetka Loan</t>
  </si>
  <si>
    <t>25160 Wilmette Loan</t>
  </si>
  <si>
    <t>Contributions (New Revenue Acct.)</t>
  </si>
  <si>
    <t>MV2025-13</t>
  </si>
  <si>
    <t>Remove original compressor asset</t>
  </si>
  <si>
    <t>Gain/Loss on Asset Disposals</t>
  </si>
  <si>
    <t>MV2025-14</t>
  </si>
  <si>
    <t>Remove compressor maintenance asset</t>
  </si>
  <si>
    <t>MV2025-15</t>
  </si>
  <si>
    <t>Remove compressor labor asset</t>
  </si>
  <si>
    <t>MV2025-16</t>
  </si>
  <si>
    <t>Reclassify insurance payments</t>
  </si>
  <si>
    <t>61410 Compressor Maintenance</t>
  </si>
  <si>
    <t>MV2025-17</t>
  </si>
  <si>
    <t>Accrue expenses</t>
  </si>
  <si>
    <t>61330 Scoreboard Software</t>
  </si>
  <si>
    <t>MV2025-18</t>
  </si>
  <si>
    <t>Write off IL Department of Revenue Liab.</t>
  </si>
  <si>
    <t>Illinois Department of Revenue Payable</t>
  </si>
  <si>
    <t>61419 Operation Supplies</t>
  </si>
  <si>
    <t>MV2025-19</t>
  </si>
  <si>
    <t>Reclassify software asset</t>
  </si>
  <si>
    <t>61360 Computer Consulting/Website</t>
  </si>
  <si>
    <t>13020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</si>
</sst>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14" fontId="3" fillId="0" borderId="0" xfId="0" applyNumberFormat="1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95B3-57CE-4560-BF00-5E6A0D5B2BCB}">
  <dimension ref="A3:L132"/>
  <sheetViews>
    <sheetView tabSelected="1" view="pageLayout" topLeftCell="B1" zoomScaleNormal="100" workbookViewId="0">
      <selection activeCell="L1" sqref="L1"/>
    </sheetView>
  </sheetViews>
  <sheetFormatPr defaultRowHeight="15" x14ac:dyDescent="0.25"/>
  <cols>
    <col min="1" max="1" width="3.5703125" hidden="1" customWidth="1"/>
    <col min="3" max="3" width="2" customWidth="1"/>
    <col min="5" max="5" width="2" customWidth="1"/>
    <col min="6" max="6" width="26.85546875" bestFit="1" customWidth="1"/>
    <col min="7" max="7" width="2" customWidth="1"/>
    <col min="8" max="8" width="41.28515625" bestFit="1" customWidth="1"/>
    <col min="9" max="9" width="2" customWidth="1"/>
    <col min="10" max="10" width="9.85546875" bestFit="1" customWidth="1"/>
    <col min="11" max="11" width="2" customWidth="1"/>
    <col min="12" max="12" width="9.85546875" bestFit="1" customWidth="1"/>
  </cols>
  <sheetData>
    <row r="3" spans="2:12" x14ac:dyDescent="0.25">
      <c r="B3" s="1" t="s">
        <v>0</v>
      </c>
      <c r="D3" s="1" t="s">
        <v>1</v>
      </c>
      <c r="F3" s="1" t="s">
        <v>2</v>
      </c>
      <c r="H3" s="1" t="s">
        <v>3</v>
      </c>
      <c r="J3" s="1" t="s">
        <v>4</v>
      </c>
      <c r="L3" s="1" t="s">
        <v>5</v>
      </c>
    </row>
    <row r="4" spans="2:12" x14ac:dyDescent="0.25">
      <c r="B4" s="2" t="s">
        <v>6</v>
      </c>
      <c r="D4" s="3">
        <v>45838</v>
      </c>
      <c r="F4" s="2" t="s">
        <v>7</v>
      </c>
      <c r="H4" s="2" t="s">
        <v>8</v>
      </c>
      <c r="J4" s="4">
        <v>10398.4</v>
      </c>
      <c r="L4" s="4"/>
    </row>
    <row r="5" spans="2:12" x14ac:dyDescent="0.25">
      <c r="B5" s="2"/>
      <c r="D5" s="3">
        <v>45838</v>
      </c>
      <c r="F5" s="2" t="s">
        <v>7</v>
      </c>
      <c r="H5" s="2" t="s">
        <v>9</v>
      </c>
      <c r="J5" s="4">
        <v>800</v>
      </c>
      <c r="L5" s="4"/>
    </row>
    <row r="6" spans="2:12" x14ac:dyDescent="0.25">
      <c r="B6" s="2"/>
      <c r="D6" s="3">
        <v>45838</v>
      </c>
      <c r="F6" s="2" t="s">
        <v>7</v>
      </c>
      <c r="H6" s="2" t="s">
        <v>10</v>
      </c>
      <c r="J6" s="4"/>
      <c r="L6" s="4">
        <v>5041.4399999999996</v>
      </c>
    </row>
    <row r="7" spans="2:12" x14ac:dyDescent="0.25">
      <c r="B7" s="2"/>
      <c r="D7" s="3">
        <v>45838</v>
      </c>
      <c r="F7" s="2" t="s">
        <v>7</v>
      </c>
      <c r="H7" s="2" t="s">
        <v>11</v>
      </c>
      <c r="J7" s="4"/>
      <c r="L7" s="4">
        <v>3274</v>
      </c>
    </row>
    <row r="8" spans="2:12" x14ac:dyDescent="0.25">
      <c r="B8" s="2"/>
      <c r="D8" s="3">
        <v>45838</v>
      </c>
      <c r="F8" s="2" t="s">
        <v>7</v>
      </c>
      <c r="H8" s="2" t="s">
        <v>12</v>
      </c>
      <c r="J8" s="4"/>
      <c r="L8" s="4">
        <v>154.57</v>
      </c>
    </row>
    <row r="9" spans="2:12" x14ac:dyDescent="0.25">
      <c r="B9" s="2"/>
      <c r="D9" s="3">
        <v>45838</v>
      </c>
      <c r="F9" s="2" t="s">
        <v>7</v>
      </c>
      <c r="H9" s="2" t="s">
        <v>13</v>
      </c>
      <c r="J9" s="4"/>
      <c r="L9" s="4">
        <v>213.39</v>
      </c>
    </row>
    <row r="10" spans="2:12" x14ac:dyDescent="0.25">
      <c r="B10" s="2"/>
      <c r="D10" s="3">
        <v>45838</v>
      </c>
      <c r="F10" s="2" t="s">
        <v>7</v>
      </c>
      <c r="H10" s="2" t="s">
        <v>14</v>
      </c>
      <c r="J10" s="4"/>
      <c r="L10" s="4">
        <v>1500</v>
      </c>
    </row>
    <row r="11" spans="2:12" x14ac:dyDescent="0.25">
      <c r="B11" s="2"/>
      <c r="D11" s="3">
        <v>45838</v>
      </c>
      <c r="F11" s="2" t="s">
        <v>7</v>
      </c>
      <c r="H11" s="2" t="s">
        <v>15</v>
      </c>
      <c r="J11" s="4"/>
      <c r="L11" s="4">
        <v>215</v>
      </c>
    </row>
    <row r="12" spans="2:12" x14ac:dyDescent="0.25">
      <c r="B12" s="2"/>
      <c r="D12" s="3">
        <v>45838</v>
      </c>
      <c r="F12" s="2" t="s">
        <v>7</v>
      </c>
      <c r="H12" s="2" t="s">
        <v>16</v>
      </c>
      <c r="J12" s="4"/>
      <c r="L12" s="4">
        <v>800</v>
      </c>
    </row>
    <row r="13" spans="2:12" x14ac:dyDescent="0.25">
      <c r="B13" s="2"/>
      <c r="D13" s="2"/>
      <c r="F13" s="2"/>
      <c r="H13" s="2"/>
      <c r="J13" s="4"/>
      <c r="L13" s="4"/>
    </row>
    <row r="14" spans="2:12" x14ac:dyDescent="0.25">
      <c r="B14" s="2" t="s">
        <v>17</v>
      </c>
      <c r="D14" s="3">
        <v>45838</v>
      </c>
      <c r="F14" s="2" t="s">
        <v>18</v>
      </c>
      <c r="H14" s="2" t="s">
        <v>19</v>
      </c>
      <c r="J14" s="4">
        <v>378250</v>
      </c>
      <c r="L14" s="4"/>
    </row>
    <row r="15" spans="2:12" x14ac:dyDescent="0.25">
      <c r="B15" s="2"/>
      <c r="D15" s="3">
        <v>45838</v>
      </c>
      <c r="F15" s="2" t="s">
        <v>18</v>
      </c>
      <c r="H15" s="2" t="s">
        <v>20</v>
      </c>
      <c r="J15" s="4"/>
      <c r="L15" s="4">
        <f>J14-L16</f>
        <v>59099.719999999972</v>
      </c>
    </row>
    <row r="16" spans="2:12" x14ac:dyDescent="0.25">
      <c r="B16" s="2"/>
      <c r="D16" s="3">
        <v>45838</v>
      </c>
      <c r="F16" s="2" t="s">
        <v>18</v>
      </c>
      <c r="H16" s="2" t="s">
        <v>19</v>
      </c>
      <c r="J16" s="4"/>
      <c r="L16" s="4">
        <v>319150.28000000003</v>
      </c>
    </row>
    <row r="17" spans="2:12" x14ac:dyDescent="0.25">
      <c r="B17" s="2"/>
      <c r="D17" s="2"/>
      <c r="F17" s="2"/>
      <c r="H17" s="2"/>
      <c r="J17" s="4"/>
      <c r="L17" s="4"/>
    </row>
    <row r="18" spans="2:12" x14ac:dyDescent="0.25">
      <c r="B18" s="2" t="s">
        <v>21</v>
      </c>
      <c r="D18" s="3">
        <v>45838</v>
      </c>
      <c r="F18" s="2" t="s">
        <v>22</v>
      </c>
      <c r="H18" s="2" t="s">
        <v>23</v>
      </c>
      <c r="J18" s="4">
        <v>303210.07</v>
      </c>
      <c r="L18" s="4"/>
    </row>
    <row r="19" spans="2:12" x14ac:dyDescent="0.25">
      <c r="B19" s="2"/>
      <c r="D19" s="3">
        <v>45838</v>
      </c>
      <c r="F19" s="2" t="s">
        <v>22</v>
      </c>
      <c r="H19" s="2" t="s">
        <v>24</v>
      </c>
      <c r="J19" s="4"/>
      <c r="L19" s="4">
        <v>303210.07</v>
      </c>
    </row>
    <row r="20" spans="2:12" x14ac:dyDescent="0.25">
      <c r="B20" s="2"/>
      <c r="D20" s="2"/>
      <c r="F20" s="2"/>
      <c r="H20" s="2"/>
      <c r="J20" s="4"/>
      <c r="L20" s="4"/>
    </row>
    <row r="21" spans="2:12" x14ac:dyDescent="0.25">
      <c r="B21" s="2" t="s">
        <v>25</v>
      </c>
      <c r="D21" s="3">
        <v>45838</v>
      </c>
      <c r="F21" s="2" t="s">
        <v>26</v>
      </c>
      <c r="H21" s="2" t="s">
        <v>27</v>
      </c>
      <c r="J21" s="4">
        <v>6810</v>
      </c>
      <c r="L21" s="4"/>
    </row>
    <row r="22" spans="2:12" x14ac:dyDescent="0.25">
      <c r="B22" s="2"/>
      <c r="D22" s="3">
        <v>45838</v>
      </c>
      <c r="F22" s="2" t="s">
        <v>26</v>
      </c>
      <c r="H22" s="2" t="s">
        <v>28</v>
      </c>
      <c r="J22" s="4"/>
      <c r="L22" s="4">
        <v>6810</v>
      </c>
    </row>
    <row r="23" spans="2:12" x14ac:dyDescent="0.25">
      <c r="B23" s="2"/>
      <c r="D23" s="2"/>
      <c r="F23" s="2"/>
      <c r="H23" s="2"/>
      <c r="J23" s="4"/>
      <c r="L23" s="4"/>
    </row>
    <row r="24" spans="2:12" x14ac:dyDescent="0.25">
      <c r="B24" s="2" t="s">
        <v>29</v>
      </c>
      <c r="D24" s="3">
        <v>45838</v>
      </c>
      <c r="F24" s="2" t="s">
        <v>30</v>
      </c>
      <c r="H24" s="2" t="s">
        <v>31</v>
      </c>
      <c r="J24" s="4">
        <v>1203.6500000000001</v>
      </c>
      <c r="L24" s="4"/>
    </row>
    <row r="25" spans="2:12" x14ac:dyDescent="0.25">
      <c r="B25" s="2"/>
      <c r="D25" s="3">
        <v>45838</v>
      </c>
      <c r="F25" s="2" t="s">
        <v>30</v>
      </c>
      <c r="H25" s="2" t="s">
        <v>32</v>
      </c>
      <c r="J25" s="4"/>
      <c r="L25" s="4">
        <v>1203.6500000000001</v>
      </c>
    </row>
    <row r="26" spans="2:12" x14ac:dyDescent="0.25">
      <c r="B26" s="2"/>
      <c r="D26" s="2"/>
      <c r="F26" s="2"/>
      <c r="H26" s="2"/>
      <c r="J26" s="4"/>
      <c r="L26" s="4"/>
    </row>
    <row r="27" spans="2:12" x14ac:dyDescent="0.25">
      <c r="B27" s="2" t="s">
        <v>33</v>
      </c>
      <c r="D27" s="3">
        <v>45838</v>
      </c>
      <c r="F27" s="2" t="s">
        <v>34</v>
      </c>
      <c r="H27" s="2" t="s">
        <v>35</v>
      </c>
      <c r="J27" s="4">
        <v>20000</v>
      </c>
      <c r="L27" s="4"/>
    </row>
    <row r="28" spans="2:12" x14ac:dyDescent="0.25">
      <c r="B28" s="2"/>
      <c r="D28" s="3">
        <v>45838</v>
      </c>
      <c r="F28" s="2" t="s">
        <v>34</v>
      </c>
      <c r="H28" s="2" t="s">
        <v>36</v>
      </c>
      <c r="J28" s="4"/>
      <c r="L28" s="4">
        <v>20000</v>
      </c>
    </row>
    <row r="29" spans="2:12" x14ac:dyDescent="0.25">
      <c r="B29" s="2"/>
      <c r="D29" s="2"/>
      <c r="F29" s="2"/>
      <c r="J29" s="4"/>
      <c r="L29" s="4"/>
    </row>
    <row r="30" spans="2:12" x14ac:dyDescent="0.25">
      <c r="B30" s="2" t="s">
        <v>37</v>
      </c>
      <c r="D30" s="3">
        <v>45838</v>
      </c>
      <c r="F30" s="2" t="s">
        <v>38</v>
      </c>
      <c r="H30" s="2" t="s">
        <v>39</v>
      </c>
      <c r="J30" s="4">
        <v>26797.34</v>
      </c>
      <c r="L30" s="4"/>
    </row>
    <row r="31" spans="2:12" x14ac:dyDescent="0.25">
      <c r="B31" s="2"/>
      <c r="D31" s="3">
        <v>45838</v>
      </c>
      <c r="F31" s="2" t="s">
        <v>38</v>
      </c>
      <c r="H31" s="2" t="s">
        <v>40</v>
      </c>
      <c r="J31" s="4"/>
      <c r="L31" s="4">
        <v>26797.34</v>
      </c>
    </row>
    <row r="32" spans="2:12" x14ac:dyDescent="0.25">
      <c r="B32" s="2"/>
      <c r="D32" s="2"/>
      <c r="F32" s="2"/>
      <c r="H32" s="2"/>
      <c r="J32" s="4"/>
      <c r="L32" s="4"/>
    </row>
    <row r="33" spans="2:12" x14ac:dyDescent="0.25">
      <c r="B33" s="2"/>
      <c r="D33" s="2"/>
      <c r="F33" s="2"/>
      <c r="H33" s="2"/>
      <c r="J33" s="4"/>
      <c r="L33" s="4"/>
    </row>
    <row r="34" spans="2:12" x14ac:dyDescent="0.25">
      <c r="B34" s="2"/>
      <c r="D34" s="2"/>
      <c r="F34" s="2"/>
      <c r="H34" s="2"/>
      <c r="J34" s="4"/>
      <c r="L34" s="4"/>
    </row>
    <row r="35" spans="2:12" x14ac:dyDescent="0.25">
      <c r="B35" s="2"/>
      <c r="D35" s="2"/>
      <c r="F35" s="2"/>
      <c r="H35" s="2"/>
      <c r="J35" s="4"/>
      <c r="L35" s="4"/>
    </row>
    <row r="36" spans="2:12" x14ac:dyDescent="0.25">
      <c r="B36" s="1" t="s">
        <v>0</v>
      </c>
      <c r="D36" s="1" t="s">
        <v>1</v>
      </c>
      <c r="F36" s="1" t="s">
        <v>2</v>
      </c>
      <c r="H36" s="1" t="s">
        <v>3</v>
      </c>
      <c r="J36" s="1" t="s">
        <v>4</v>
      </c>
      <c r="L36" s="1" t="s">
        <v>5</v>
      </c>
    </row>
    <row r="37" spans="2:12" x14ac:dyDescent="0.25">
      <c r="B37" s="2" t="s">
        <v>41</v>
      </c>
      <c r="D37" s="3">
        <v>45838</v>
      </c>
      <c r="F37" s="2" t="s">
        <v>42</v>
      </c>
      <c r="H37" s="2" t="s">
        <v>43</v>
      </c>
      <c r="J37" s="4">
        <v>2379.23</v>
      </c>
      <c r="L37" s="4"/>
    </row>
    <row r="38" spans="2:12" x14ac:dyDescent="0.25">
      <c r="B38" s="2"/>
      <c r="D38" s="3">
        <v>45838</v>
      </c>
      <c r="F38" s="2" t="s">
        <v>42</v>
      </c>
      <c r="H38" s="2" t="s">
        <v>44</v>
      </c>
      <c r="J38" s="4"/>
      <c r="L38" s="4">
        <v>2379.23</v>
      </c>
    </row>
    <row r="39" spans="2:12" x14ac:dyDescent="0.25">
      <c r="B39" s="2"/>
      <c r="D39" s="2"/>
      <c r="F39" s="2"/>
      <c r="H39" s="2"/>
      <c r="J39" s="4"/>
      <c r="L39" s="4"/>
    </row>
    <row r="40" spans="2:12" x14ac:dyDescent="0.25">
      <c r="B40" s="2" t="s">
        <v>45</v>
      </c>
      <c r="D40" s="3">
        <v>45838</v>
      </c>
      <c r="F40" s="2" t="s">
        <v>46</v>
      </c>
      <c r="H40" s="2" t="s">
        <v>47</v>
      </c>
      <c r="J40" s="4">
        <v>620919</v>
      </c>
      <c r="L40" s="4"/>
    </row>
    <row r="41" spans="2:12" x14ac:dyDescent="0.25">
      <c r="B41" s="2"/>
      <c r="D41" s="3">
        <v>45838</v>
      </c>
      <c r="F41" s="2" t="s">
        <v>46</v>
      </c>
      <c r="H41" s="2" t="s">
        <v>48</v>
      </c>
      <c r="J41" s="4">
        <v>11073.6</v>
      </c>
      <c r="L41" s="4"/>
    </row>
    <row r="42" spans="2:12" x14ac:dyDescent="0.25">
      <c r="B42" s="2"/>
      <c r="D42" s="3">
        <v>45838</v>
      </c>
      <c r="F42" s="2" t="s">
        <v>46</v>
      </c>
      <c r="H42" s="2" t="s">
        <v>49</v>
      </c>
      <c r="J42" s="4"/>
      <c r="L42" s="4">
        <v>626315.6</v>
      </c>
    </row>
    <row r="43" spans="2:12" x14ac:dyDescent="0.25">
      <c r="B43" s="2"/>
      <c r="D43" s="3">
        <v>45838</v>
      </c>
      <c r="F43" s="2" t="s">
        <v>46</v>
      </c>
      <c r="H43" s="2" t="s">
        <v>50</v>
      </c>
      <c r="J43" s="4"/>
      <c r="L43" s="4">
        <v>5677</v>
      </c>
    </row>
    <row r="44" spans="2:12" x14ac:dyDescent="0.25">
      <c r="B44" s="2"/>
      <c r="D44" s="2"/>
      <c r="F44" s="2"/>
      <c r="H44" s="2"/>
      <c r="J44" s="4"/>
      <c r="L44" s="4"/>
    </row>
    <row r="45" spans="2:12" x14ac:dyDescent="0.25">
      <c r="B45" s="2" t="s">
        <v>51</v>
      </c>
      <c r="D45" s="3">
        <v>45838</v>
      </c>
      <c r="F45" s="2" t="s">
        <v>52</v>
      </c>
      <c r="H45" s="2" t="s">
        <v>53</v>
      </c>
      <c r="J45" s="4">
        <v>19165</v>
      </c>
      <c r="L45" s="4"/>
    </row>
    <row r="46" spans="2:12" x14ac:dyDescent="0.25">
      <c r="D46" s="3">
        <v>45838</v>
      </c>
      <c r="F46" s="2" t="s">
        <v>52</v>
      </c>
      <c r="H46" s="2" t="s">
        <v>54</v>
      </c>
      <c r="J46" s="4">
        <v>1854</v>
      </c>
      <c r="L46" s="4"/>
    </row>
    <row r="47" spans="2:12" x14ac:dyDescent="0.25">
      <c r="D47" s="3">
        <v>45838</v>
      </c>
      <c r="F47" s="2" t="s">
        <v>52</v>
      </c>
      <c r="H47" s="2" t="s">
        <v>55</v>
      </c>
      <c r="J47" s="4">
        <v>872.66</v>
      </c>
      <c r="L47" s="4"/>
    </row>
    <row r="48" spans="2:12" x14ac:dyDescent="0.25">
      <c r="D48" s="3">
        <v>45838</v>
      </c>
      <c r="F48" s="2" t="s">
        <v>52</v>
      </c>
      <c r="H48" s="2" t="s">
        <v>56</v>
      </c>
      <c r="J48" s="4">
        <v>1025.5</v>
      </c>
      <c r="L48" s="4"/>
    </row>
    <row r="49" spans="2:12" x14ac:dyDescent="0.25">
      <c r="D49" s="3">
        <v>45838</v>
      </c>
      <c r="F49" s="2" t="s">
        <v>52</v>
      </c>
      <c r="H49" s="2" t="s">
        <v>57</v>
      </c>
      <c r="J49" s="4">
        <f>ABS(SUM(J45:J48)-SUM(L50:L53))</f>
        <v>6256.84</v>
      </c>
    </row>
    <row r="50" spans="2:12" x14ac:dyDescent="0.25">
      <c r="D50" s="3">
        <v>45838</v>
      </c>
      <c r="F50" s="2" t="s">
        <v>52</v>
      </c>
      <c r="H50" s="2" t="s">
        <v>58</v>
      </c>
      <c r="L50" s="4">
        <v>19165</v>
      </c>
    </row>
    <row r="51" spans="2:12" x14ac:dyDescent="0.25">
      <c r="D51" s="3">
        <v>45838</v>
      </c>
      <c r="F51" s="2" t="s">
        <v>52</v>
      </c>
      <c r="H51" s="2" t="s">
        <v>48</v>
      </c>
      <c r="L51" s="4">
        <v>1854</v>
      </c>
    </row>
    <row r="52" spans="2:12" x14ac:dyDescent="0.25">
      <c r="B52" s="2"/>
      <c r="D52" s="3">
        <v>45838</v>
      </c>
      <c r="F52" s="2" t="s">
        <v>52</v>
      </c>
      <c r="H52" s="2" t="s">
        <v>59</v>
      </c>
      <c r="L52" s="4">
        <v>2295</v>
      </c>
    </row>
    <row r="53" spans="2:12" x14ac:dyDescent="0.25">
      <c r="B53" s="2"/>
      <c r="D53" s="3">
        <v>45838</v>
      </c>
      <c r="F53" s="2" t="s">
        <v>52</v>
      </c>
      <c r="H53" s="2" t="s">
        <v>47</v>
      </c>
      <c r="J53" s="4"/>
      <c r="L53" s="4">
        <v>5860</v>
      </c>
    </row>
    <row r="54" spans="2:12" x14ac:dyDescent="0.25">
      <c r="B54" s="2"/>
    </row>
    <row r="55" spans="2:12" x14ac:dyDescent="0.25">
      <c r="B55" s="2" t="s">
        <v>60</v>
      </c>
      <c r="D55" s="3">
        <v>45838</v>
      </c>
      <c r="F55" s="2" t="s">
        <v>61</v>
      </c>
      <c r="H55" s="2" t="s">
        <v>62</v>
      </c>
      <c r="J55" s="4">
        <f>SUM(L56:L59)</f>
        <v>221547.64</v>
      </c>
      <c r="L55" s="4"/>
    </row>
    <row r="56" spans="2:12" x14ac:dyDescent="0.25">
      <c r="B56" s="2"/>
      <c r="D56" s="3">
        <v>45838</v>
      </c>
      <c r="F56" s="2" t="s">
        <v>61</v>
      </c>
      <c r="H56" s="2" t="s">
        <v>53</v>
      </c>
      <c r="L56" s="4">
        <f>4500+1217.6</f>
        <v>5717.6</v>
      </c>
    </row>
    <row r="57" spans="2:12" x14ac:dyDescent="0.25">
      <c r="B57" s="2"/>
      <c r="D57" s="3">
        <v>45838</v>
      </c>
      <c r="F57" s="2" t="s">
        <v>61</v>
      </c>
      <c r="H57" s="2" t="s">
        <v>54</v>
      </c>
      <c r="J57" s="4"/>
      <c r="L57" s="4">
        <f>119.92+63.08</f>
        <v>183</v>
      </c>
    </row>
    <row r="58" spans="2:12" x14ac:dyDescent="0.25">
      <c r="B58" s="2"/>
      <c r="D58" s="3">
        <v>45838</v>
      </c>
      <c r="F58" s="2" t="s">
        <v>61</v>
      </c>
      <c r="H58" s="2" t="s">
        <v>55</v>
      </c>
      <c r="J58" s="4"/>
      <c r="L58" s="4">
        <v>200784.19</v>
      </c>
    </row>
    <row r="59" spans="2:12" x14ac:dyDescent="0.25">
      <c r="B59" s="2"/>
      <c r="D59" s="3">
        <v>45838</v>
      </c>
      <c r="F59" s="2" t="s">
        <v>61</v>
      </c>
      <c r="H59" s="2" t="s">
        <v>56</v>
      </c>
      <c r="J59" s="4"/>
      <c r="L59" s="4">
        <v>14862.85</v>
      </c>
    </row>
    <row r="60" spans="2:12" x14ac:dyDescent="0.25">
      <c r="B60" s="2"/>
      <c r="D60" s="2"/>
      <c r="F60" s="2"/>
      <c r="H60" s="2"/>
      <c r="J60" s="4"/>
      <c r="L60" s="4"/>
    </row>
    <row r="61" spans="2:12" x14ac:dyDescent="0.25">
      <c r="B61" s="2" t="s">
        <v>63</v>
      </c>
      <c r="D61" s="3">
        <v>45838</v>
      </c>
      <c r="F61" s="2" t="s">
        <v>64</v>
      </c>
      <c r="H61" s="2" t="s">
        <v>65</v>
      </c>
      <c r="J61" s="4">
        <v>145459.5</v>
      </c>
      <c r="L61" s="4"/>
    </row>
    <row r="62" spans="2:12" x14ac:dyDescent="0.25">
      <c r="B62" s="2"/>
      <c r="D62" s="3">
        <v>45838</v>
      </c>
      <c r="F62" s="2" t="s">
        <v>64</v>
      </c>
      <c r="H62" s="2" t="s">
        <v>66</v>
      </c>
      <c r="J62" s="4">
        <v>145459.5</v>
      </c>
      <c r="L62" s="4"/>
    </row>
    <row r="63" spans="2:12" x14ac:dyDescent="0.25">
      <c r="B63" s="2"/>
      <c r="D63" s="3">
        <v>45838</v>
      </c>
      <c r="F63" s="2" t="s">
        <v>64</v>
      </c>
      <c r="H63" s="2" t="s">
        <v>67</v>
      </c>
      <c r="J63" s="4"/>
      <c r="L63" s="4">
        <f>J61+J62</f>
        <v>290919</v>
      </c>
    </row>
    <row r="64" spans="2:12" x14ac:dyDescent="0.25">
      <c r="B64" s="2"/>
      <c r="D64" s="2"/>
      <c r="F64" s="2"/>
      <c r="H64" s="2"/>
      <c r="J64" s="4"/>
      <c r="L64" s="4"/>
    </row>
    <row r="65" spans="2:12" x14ac:dyDescent="0.25">
      <c r="B65" s="2"/>
      <c r="D65" s="2"/>
      <c r="F65" s="2"/>
      <c r="H65" s="2"/>
      <c r="J65" s="4"/>
      <c r="L65" s="4"/>
    </row>
    <row r="66" spans="2:12" x14ac:dyDescent="0.25">
      <c r="B66" s="2"/>
      <c r="D66" s="2"/>
      <c r="F66" s="2"/>
      <c r="H66" s="2"/>
      <c r="J66" s="4"/>
      <c r="L66" s="4"/>
    </row>
    <row r="67" spans="2:12" x14ac:dyDescent="0.25">
      <c r="B67" s="2"/>
      <c r="D67" s="2"/>
      <c r="F67" s="2"/>
      <c r="H67" s="2"/>
      <c r="J67" s="4"/>
      <c r="L67" s="4"/>
    </row>
    <row r="68" spans="2:12" x14ac:dyDescent="0.25">
      <c r="B68" s="1" t="s">
        <v>0</v>
      </c>
      <c r="D68" s="1" t="s">
        <v>1</v>
      </c>
      <c r="F68" s="1" t="s">
        <v>2</v>
      </c>
      <c r="H68" s="1" t="s">
        <v>3</v>
      </c>
      <c r="J68" s="1" t="s">
        <v>4</v>
      </c>
      <c r="L68" s="1" t="s">
        <v>5</v>
      </c>
    </row>
    <row r="69" spans="2:12" x14ac:dyDescent="0.25">
      <c r="B69" s="2" t="s">
        <v>68</v>
      </c>
      <c r="D69" s="3">
        <v>45838</v>
      </c>
      <c r="F69" s="2" t="s">
        <v>69</v>
      </c>
      <c r="H69" s="2" t="s">
        <v>55</v>
      </c>
      <c r="J69" s="4">
        <v>177968.68</v>
      </c>
      <c r="L69" s="4"/>
    </row>
    <row r="70" spans="2:12" x14ac:dyDescent="0.25">
      <c r="B70" s="2"/>
      <c r="D70" s="3">
        <v>45838</v>
      </c>
      <c r="F70" s="2" t="s">
        <v>69</v>
      </c>
      <c r="H70" s="2" t="s">
        <v>70</v>
      </c>
      <c r="J70" s="4">
        <f>L71-J69</f>
        <v>247031.32</v>
      </c>
      <c r="L70" s="4"/>
    </row>
    <row r="71" spans="2:12" x14ac:dyDescent="0.25">
      <c r="B71" s="2"/>
      <c r="D71" s="3">
        <v>45838</v>
      </c>
      <c r="F71" s="2" t="s">
        <v>69</v>
      </c>
      <c r="H71" s="2" t="s">
        <v>59</v>
      </c>
      <c r="J71" s="4"/>
      <c r="L71" s="4">
        <v>425000</v>
      </c>
    </row>
    <row r="72" spans="2:12" x14ac:dyDescent="0.25">
      <c r="B72" s="2"/>
      <c r="D72" s="2"/>
      <c r="F72" s="2"/>
      <c r="H72" s="2"/>
      <c r="J72" s="4"/>
      <c r="L72" s="4"/>
    </row>
    <row r="73" spans="2:12" x14ac:dyDescent="0.25">
      <c r="B73" s="2" t="s">
        <v>71</v>
      </c>
      <c r="D73" s="3">
        <v>45838</v>
      </c>
      <c r="F73" s="2" t="s">
        <v>72</v>
      </c>
      <c r="H73" s="2" t="s">
        <v>56</v>
      </c>
      <c r="J73" s="4">
        <v>799.35</v>
      </c>
      <c r="L73" s="4"/>
    </row>
    <row r="74" spans="2:12" x14ac:dyDescent="0.25">
      <c r="B74" s="2"/>
      <c r="D74" s="3">
        <v>45838</v>
      </c>
      <c r="F74" s="2" t="s">
        <v>72</v>
      </c>
      <c r="H74" s="2" t="s">
        <v>70</v>
      </c>
      <c r="J74" s="4">
        <f>L75-J73</f>
        <v>7541.65</v>
      </c>
      <c r="L74" s="4"/>
    </row>
    <row r="75" spans="2:12" x14ac:dyDescent="0.25">
      <c r="B75" s="2"/>
      <c r="D75" s="3">
        <v>45838</v>
      </c>
      <c r="F75" s="2" t="s">
        <v>72</v>
      </c>
      <c r="H75" s="2" t="s">
        <v>47</v>
      </c>
      <c r="J75" s="4"/>
      <c r="L75" s="4">
        <v>8341</v>
      </c>
    </row>
    <row r="76" spans="2:12" x14ac:dyDescent="0.25">
      <c r="B76" s="2"/>
      <c r="D76" s="2"/>
      <c r="F76" s="2"/>
      <c r="H76" s="2"/>
      <c r="J76" s="4"/>
      <c r="L76" s="4"/>
    </row>
    <row r="77" spans="2:12" x14ac:dyDescent="0.25">
      <c r="B77" s="2" t="s">
        <v>73</v>
      </c>
      <c r="D77" s="3">
        <v>45838</v>
      </c>
      <c r="F77" s="2" t="s">
        <v>74</v>
      </c>
      <c r="H77" s="2" t="s">
        <v>56</v>
      </c>
      <c r="J77" s="4">
        <v>1316.35</v>
      </c>
      <c r="L77" s="4"/>
    </row>
    <row r="78" spans="2:12" x14ac:dyDescent="0.25">
      <c r="B78" s="2"/>
      <c r="D78" s="3">
        <v>45838</v>
      </c>
      <c r="F78" s="2" t="s">
        <v>74</v>
      </c>
      <c r="H78" s="2" t="s">
        <v>70</v>
      </c>
      <c r="J78" s="4">
        <f>L79-J77</f>
        <v>12419.48</v>
      </c>
      <c r="L78" s="4"/>
    </row>
    <row r="79" spans="2:12" x14ac:dyDescent="0.25">
      <c r="B79" s="2"/>
      <c r="D79" s="3">
        <v>45838</v>
      </c>
      <c r="F79" s="2" t="s">
        <v>74</v>
      </c>
      <c r="H79" s="2" t="s">
        <v>47</v>
      </c>
      <c r="J79" s="4"/>
      <c r="L79" s="4">
        <v>13735.83</v>
      </c>
    </row>
    <row r="80" spans="2:12" x14ac:dyDescent="0.25">
      <c r="B80" s="2"/>
      <c r="D80" s="2"/>
      <c r="F80" s="2"/>
      <c r="H80" s="2"/>
      <c r="J80" s="4"/>
      <c r="L80" s="4"/>
    </row>
    <row r="81" spans="2:12" x14ac:dyDescent="0.25">
      <c r="B81" s="2" t="s">
        <v>75</v>
      </c>
      <c r="D81" s="3">
        <v>45838</v>
      </c>
      <c r="F81" s="2" t="s">
        <v>76</v>
      </c>
      <c r="H81" s="2" t="s">
        <v>77</v>
      </c>
      <c r="J81" s="4">
        <v>107429.48</v>
      </c>
      <c r="L81" s="4"/>
    </row>
    <row r="82" spans="2:12" x14ac:dyDescent="0.25">
      <c r="B82" s="2"/>
      <c r="D82" s="3">
        <v>45838</v>
      </c>
      <c r="F82" s="2" t="s">
        <v>76</v>
      </c>
      <c r="H82" s="2" t="s">
        <v>70</v>
      </c>
      <c r="J82" s="4"/>
      <c r="L82" s="4">
        <v>107429.48</v>
      </c>
    </row>
    <row r="83" spans="2:12" x14ac:dyDescent="0.25">
      <c r="B83" s="2"/>
      <c r="D83" s="2"/>
      <c r="F83" s="2"/>
      <c r="H83" s="2"/>
      <c r="J83" s="4"/>
      <c r="L83" s="4"/>
    </row>
    <row r="84" spans="2:12" x14ac:dyDescent="0.25">
      <c r="B84" s="2" t="s">
        <v>78</v>
      </c>
      <c r="D84" s="3">
        <v>45838</v>
      </c>
      <c r="F84" s="2" t="s">
        <v>79</v>
      </c>
      <c r="H84" s="2" t="s">
        <v>80</v>
      </c>
      <c r="J84" s="4">
        <v>7500</v>
      </c>
      <c r="L84" s="4"/>
    </row>
    <row r="85" spans="2:12" x14ac:dyDescent="0.25">
      <c r="B85" s="2"/>
      <c r="D85" s="3">
        <v>45838</v>
      </c>
      <c r="F85" s="2" t="s">
        <v>79</v>
      </c>
      <c r="H85" s="2" t="s">
        <v>10</v>
      </c>
      <c r="J85" s="4">
        <v>4536.9799999999996</v>
      </c>
      <c r="L85" s="4"/>
    </row>
    <row r="86" spans="2:12" x14ac:dyDescent="0.25">
      <c r="B86" s="2"/>
      <c r="D86" s="3">
        <v>45838</v>
      </c>
      <c r="F86" s="2" t="s">
        <v>79</v>
      </c>
      <c r="H86" s="2" t="s">
        <v>8</v>
      </c>
      <c r="J86" s="4"/>
      <c r="L86" s="4">
        <f>J84+J85</f>
        <v>12036.98</v>
      </c>
    </row>
    <row r="87" spans="2:12" x14ac:dyDescent="0.25">
      <c r="B87" s="2"/>
      <c r="D87" s="2"/>
      <c r="F87" s="2"/>
      <c r="H87" s="2"/>
      <c r="J87" s="4"/>
      <c r="L87" s="4"/>
    </row>
    <row r="88" spans="2:12" x14ac:dyDescent="0.25">
      <c r="B88" s="2" t="s">
        <v>81</v>
      </c>
      <c r="D88" s="3">
        <v>45838</v>
      </c>
      <c r="F88" s="2" t="s">
        <v>82</v>
      </c>
      <c r="H88" s="2" t="s">
        <v>83</v>
      </c>
      <c r="J88" s="4">
        <v>1184.18</v>
      </c>
      <c r="L88" s="4"/>
    </row>
    <row r="89" spans="2:12" x14ac:dyDescent="0.25">
      <c r="B89" s="2"/>
      <c r="D89" s="3">
        <v>45838</v>
      </c>
      <c r="F89" s="2" t="s">
        <v>82</v>
      </c>
      <c r="H89" s="2" t="s">
        <v>84</v>
      </c>
      <c r="J89" s="4"/>
      <c r="L89" s="4">
        <v>1184.18</v>
      </c>
    </row>
    <row r="90" spans="2:12" x14ac:dyDescent="0.25">
      <c r="B90" s="2"/>
      <c r="D90" s="2"/>
      <c r="F90" s="2"/>
      <c r="H90" s="2"/>
      <c r="J90" s="4"/>
      <c r="L90" s="4"/>
    </row>
    <row r="91" spans="2:12" x14ac:dyDescent="0.25">
      <c r="B91" s="2" t="s">
        <v>85</v>
      </c>
      <c r="D91" s="3">
        <v>45838</v>
      </c>
      <c r="F91" s="2" t="s">
        <v>86</v>
      </c>
      <c r="H91" s="2" t="s">
        <v>87</v>
      </c>
      <c r="J91" s="4">
        <v>256</v>
      </c>
      <c r="L91" s="4"/>
    </row>
    <row r="92" spans="2:12" x14ac:dyDescent="0.25">
      <c r="B92" s="2"/>
      <c r="D92" s="3">
        <v>45838</v>
      </c>
      <c r="F92" s="2" t="s">
        <v>86</v>
      </c>
      <c r="H92" s="2" t="s">
        <v>88</v>
      </c>
      <c r="J92" s="4"/>
      <c r="L92" s="4">
        <v>256</v>
      </c>
    </row>
    <row r="93" spans="2:12" x14ac:dyDescent="0.25">
      <c r="B93" s="2"/>
      <c r="D93" s="2"/>
      <c r="F93" s="2"/>
      <c r="H93" s="2"/>
      <c r="J93" s="4"/>
      <c r="L93" s="4"/>
    </row>
    <row r="94" spans="2:12" x14ac:dyDescent="0.25">
      <c r="B94" s="2"/>
      <c r="D94" s="2"/>
      <c r="F94" s="2"/>
      <c r="H94" s="2"/>
      <c r="J94" s="4"/>
      <c r="L94" s="4"/>
    </row>
    <row r="95" spans="2:12" x14ac:dyDescent="0.25">
      <c r="B95" s="2"/>
      <c r="D95" s="2"/>
      <c r="F95" s="2"/>
      <c r="H95" s="2"/>
      <c r="J95" s="4"/>
      <c r="L95" s="4"/>
    </row>
    <row r="96" spans="2:12" x14ac:dyDescent="0.25">
      <c r="B96" s="2"/>
      <c r="D96" s="2"/>
      <c r="F96" s="2"/>
      <c r="H96" s="2"/>
      <c r="J96" s="4"/>
      <c r="L96" s="4"/>
    </row>
    <row r="97" spans="2:12" x14ac:dyDescent="0.25">
      <c r="B97" s="2"/>
      <c r="D97" s="2"/>
      <c r="F97" s="2"/>
      <c r="H97" s="2"/>
      <c r="J97" s="4"/>
      <c r="L97" s="4"/>
    </row>
    <row r="98" spans="2:12" x14ac:dyDescent="0.25">
      <c r="B98" s="2"/>
      <c r="D98" s="2"/>
      <c r="F98" s="2"/>
      <c r="H98" s="2"/>
      <c r="J98" s="4"/>
      <c r="L98" s="4"/>
    </row>
    <row r="99" spans="2:12" x14ac:dyDescent="0.25">
      <c r="B99" s="2"/>
      <c r="D99" s="2"/>
      <c r="F99" s="2"/>
      <c r="H99" s="2"/>
      <c r="J99" s="4"/>
      <c r="L99" s="4"/>
    </row>
    <row r="100" spans="2:12" x14ac:dyDescent="0.25">
      <c r="B100" s="2"/>
      <c r="D100" s="2"/>
      <c r="F100" s="2"/>
      <c r="H100" s="2"/>
      <c r="J100" s="4"/>
      <c r="L100" s="4"/>
    </row>
    <row r="101" spans="2:12" x14ac:dyDescent="0.25">
      <c r="B101" s="2"/>
      <c r="D101" s="2"/>
      <c r="F101" s="2"/>
      <c r="H101" s="2"/>
      <c r="J101" s="4"/>
      <c r="L101" s="4"/>
    </row>
    <row r="102" spans="2:12" x14ac:dyDescent="0.25">
      <c r="B102" s="2"/>
      <c r="D102" s="2"/>
      <c r="F102" s="2"/>
      <c r="H102" s="2"/>
      <c r="J102" s="4"/>
      <c r="L102" s="4"/>
    </row>
    <row r="103" spans="2:12" x14ac:dyDescent="0.25">
      <c r="B103" s="2"/>
      <c r="D103" s="2"/>
      <c r="F103" s="2"/>
      <c r="H103" s="2"/>
      <c r="J103" s="4"/>
      <c r="L103" s="4"/>
    </row>
    <row r="104" spans="2:12" x14ac:dyDescent="0.25">
      <c r="B104" s="2"/>
      <c r="D104" s="2"/>
      <c r="F104" s="2"/>
      <c r="H104" s="2"/>
      <c r="J104" s="4"/>
      <c r="L104" s="4"/>
    </row>
    <row r="105" spans="2:12" x14ac:dyDescent="0.25">
      <c r="B105" s="2"/>
      <c r="D105" s="2"/>
      <c r="F105" s="2"/>
      <c r="H105" s="2"/>
      <c r="J105" s="4"/>
      <c r="L105" s="4"/>
    </row>
    <row r="106" spans="2:12" x14ac:dyDescent="0.25">
      <c r="B106" s="2"/>
      <c r="D106" s="2"/>
      <c r="F106" s="2"/>
      <c r="H106" s="2"/>
      <c r="J106" s="4"/>
      <c r="L106" s="4"/>
    </row>
    <row r="107" spans="2:12" x14ac:dyDescent="0.25">
      <c r="B107" s="2"/>
      <c r="D107" s="2"/>
      <c r="F107" s="2"/>
      <c r="H107" s="2"/>
      <c r="J107" s="4"/>
      <c r="L107" s="4"/>
    </row>
    <row r="108" spans="2:12" x14ac:dyDescent="0.25">
      <c r="B108" s="2"/>
      <c r="D108" s="2"/>
      <c r="F108" s="2"/>
      <c r="H108" s="2"/>
      <c r="J108" s="4"/>
      <c r="L108" s="4"/>
    </row>
    <row r="109" spans="2:12" x14ac:dyDescent="0.25">
      <c r="B109" s="2"/>
      <c r="D109" s="2"/>
      <c r="F109" s="2"/>
      <c r="H109" s="2"/>
      <c r="J109" s="4"/>
      <c r="L109" s="4"/>
    </row>
    <row r="110" spans="2:12" x14ac:dyDescent="0.25">
      <c r="B110" s="2"/>
      <c r="D110" s="2"/>
      <c r="F110" s="2"/>
      <c r="H110" s="2"/>
      <c r="J110" s="4"/>
      <c r="L110" s="4"/>
    </row>
    <row r="111" spans="2:12" x14ac:dyDescent="0.25">
      <c r="B111" s="2"/>
      <c r="D111" s="2"/>
      <c r="F111" s="2"/>
      <c r="H111" s="2"/>
      <c r="J111" s="4"/>
      <c r="L111" s="4"/>
    </row>
    <row r="112" spans="2:12" x14ac:dyDescent="0.25">
      <c r="B112" s="2"/>
      <c r="D112" s="2"/>
      <c r="F112" s="2"/>
      <c r="H112" s="2"/>
      <c r="J112" s="4"/>
      <c r="L112" s="4"/>
    </row>
    <row r="113" spans="2:12" x14ac:dyDescent="0.25">
      <c r="B113" s="2"/>
      <c r="D113" s="2"/>
      <c r="F113" s="2"/>
      <c r="H113" s="2"/>
      <c r="J113" s="4"/>
      <c r="L113" s="4"/>
    </row>
    <row r="114" spans="2:12" x14ac:dyDescent="0.25">
      <c r="B114" s="2"/>
      <c r="D114" s="2"/>
      <c r="F114" s="2"/>
      <c r="H114" s="2"/>
      <c r="J114" s="4"/>
      <c r="L114" s="4"/>
    </row>
    <row r="115" spans="2:12" x14ac:dyDescent="0.25">
      <c r="B115" s="2"/>
      <c r="D115" s="2"/>
      <c r="F115" s="2"/>
      <c r="H115" s="2"/>
      <c r="J115" s="4"/>
      <c r="L115" s="4"/>
    </row>
    <row r="116" spans="2:12" x14ac:dyDescent="0.25">
      <c r="B116" s="2"/>
      <c r="D116" s="2"/>
      <c r="F116" s="2"/>
      <c r="H116" s="2"/>
      <c r="J116" s="4"/>
      <c r="L116" s="4"/>
    </row>
    <row r="117" spans="2:12" x14ac:dyDescent="0.25">
      <c r="B117" s="2"/>
      <c r="D117" s="2"/>
      <c r="F117" s="2"/>
      <c r="H117" s="2"/>
      <c r="J117" s="4"/>
      <c r="L117" s="4"/>
    </row>
    <row r="118" spans="2:12" x14ac:dyDescent="0.25">
      <c r="B118" s="2"/>
      <c r="D118" s="2"/>
      <c r="F118" s="2"/>
      <c r="H118" s="2"/>
      <c r="J118" s="4"/>
      <c r="L118" s="4"/>
    </row>
    <row r="119" spans="2:12" x14ac:dyDescent="0.25">
      <c r="B119" s="2"/>
      <c r="D119" s="2"/>
      <c r="F119" s="2"/>
      <c r="H119" s="2"/>
      <c r="J119" s="4"/>
      <c r="L119" s="4"/>
    </row>
    <row r="120" spans="2:12" x14ac:dyDescent="0.25">
      <c r="B120" s="2"/>
      <c r="D120" s="2"/>
      <c r="F120" s="2"/>
      <c r="H120" s="2"/>
      <c r="J120" s="4"/>
      <c r="L120" s="4"/>
    </row>
    <row r="121" spans="2:12" x14ac:dyDescent="0.25">
      <c r="B121" s="2"/>
      <c r="D121" s="2"/>
      <c r="F121" s="2"/>
      <c r="H121" s="2"/>
      <c r="J121" s="4"/>
      <c r="L121" s="4"/>
    </row>
    <row r="122" spans="2:12" x14ac:dyDescent="0.25">
      <c r="B122" s="2"/>
      <c r="D122" s="2"/>
      <c r="F122" s="2"/>
      <c r="H122" s="2"/>
      <c r="J122" s="4"/>
      <c r="L122" s="4"/>
    </row>
    <row r="123" spans="2:12" x14ac:dyDescent="0.25">
      <c r="B123" s="2"/>
      <c r="D123" s="2"/>
      <c r="F123" s="2"/>
      <c r="H123" s="2"/>
      <c r="J123" s="4"/>
      <c r="L123" s="4"/>
    </row>
    <row r="124" spans="2:12" x14ac:dyDescent="0.25">
      <c r="B124" s="2"/>
      <c r="D124" s="2"/>
      <c r="F124" s="2"/>
      <c r="H124" s="2"/>
      <c r="J124" s="4"/>
      <c r="L124" s="4"/>
    </row>
    <row r="125" spans="2:12" x14ac:dyDescent="0.25">
      <c r="B125" s="2"/>
      <c r="D125" s="2"/>
      <c r="F125" s="2"/>
      <c r="H125" s="2"/>
      <c r="J125" s="4"/>
      <c r="L125" s="4"/>
    </row>
    <row r="126" spans="2:12" x14ac:dyDescent="0.25">
      <c r="B126" s="2"/>
      <c r="D126" s="2"/>
      <c r="F126" s="2"/>
      <c r="H126" s="2"/>
      <c r="J126" s="4"/>
      <c r="L126" s="4"/>
    </row>
    <row r="127" spans="2:12" x14ac:dyDescent="0.25">
      <c r="B127" s="2"/>
      <c r="D127" s="2"/>
      <c r="F127" s="2"/>
      <c r="H127" s="2"/>
      <c r="J127" s="4"/>
      <c r="L127" s="4"/>
    </row>
    <row r="128" spans="2:12" x14ac:dyDescent="0.25">
      <c r="B128" s="2"/>
      <c r="D128" s="2"/>
      <c r="F128" s="2"/>
      <c r="H128" s="2"/>
      <c r="J128" s="4"/>
      <c r="L128" s="4"/>
    </row>
    <row r="129" spans="2:12" x14ac:dyDescent="0.25">
      <c r="B129" s="2"/>
      <c r="D129" s="2"/>
      <c r="F129" s="2"/>
      <c r="H129" s="2"/>
      <c r="J129" s="4"/>
      <c r="L129" s="4"/>
    </row>
    <row r="130" spans="2:12" x14ac:dyDescent="0.25">
      <c r="B130" s="2"/>
      <c r="D130" s="2"/>
      <c r="F130" s="2"/>
      <c r="H130" s="2"/>
      <c r="J130" s="4"/>
      <c r="L130" s="4"/>
    </row>
    <row r="131" spans="2:12" x14ac:dyDescent="0.25">
      <c r="B131" s="2"/>
      <c r="D131" s="2"/>
      <c r="F131" s="2"/>
      <c r="H131" s="2"/>
      <c r="J131" s="4"/>
      <c r="L131" s="4"/>
    </row>
    <row r="132" spans="2:12" x14ac:dyDescent="0.25">
      <c r="B132" s="2"/>
      <c r="D132" s="2"/>
      <c r="F132" s="2"/>
      <c r="H132" s="2"/>
      <c r="J132" s="4"/>
      <c r="L132" s="4"/>
    </row>
  </sheetData>
  <printOptions horizontalCentered="1"/>
  <pageMargins left="0.7" right="0.7" top="0.75" bottom="0.75" header="0.3" footer="0.3"/>
  <pageSetup orientation="landscape" r:id="rId1"/>
  <headerFooter>
    <oddHeader>&amp;C&amp;"Arial,Bold"&amp;14North Shore Ice Arena&amp;"Arial,Regular"&amp;11
&amp;"Arial,Bold"&amp;10Proposed Journal Entries
June 30, 2025 Audit</oddHeader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Proposed 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Jensen</dc:creator>
  <cp:lastModifiedBy>Drew Jensen</cp:lastModifiedBy>
  <dcterms:created xsi:type="dcterms:W3CDTF">2025-10-01T17:16:37Z</dcterms:created>
  <dcterms:modified xsi:type="dcterms:W3CDTF">2025-10-01T17:17:45Z</dcterms:modified>
</cp:coreProperties>
</file>